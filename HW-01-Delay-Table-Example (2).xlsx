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rustagi/Academia/Yr2026/2026-Spring-CMSC481/HAs/"/>
    </mc:Choice>
  </mc:AlternateContent>
  <xr:revisionPtr revIDLastSave="0" documentId="13_ncr:1_{3FDE19EC-AD50-034C-BF3B-9A8E07B166FA}" xr6:coauthVersionLast="47" xr6:coauthVersionMax="47" xr10:uidLastSave="{00000000-0000-0000-0000-000000000000}"/>
  <bookViews>
    <workbookView xWindow="37860" yWindow="-1600" windowWidth="24900" windowHeight="18680" xr2:uid="{9812CA0C-8596-9447-A4CB-7C3C0E3640BF}"/>
  </bookViews>
  <sheets>
    <sheet name="Delay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E20" i="1" s="1"/>
  <c r="M15" i="1"/>
  <c r="I16" i="1"/>
  <c r="I15" i="1"/>
  <c r="E19" i="1"/>
  <c r="E18" i="1"/>
  <c r="E17" i="1"/>
  <c r="E16" i="1"/>
  <c r="E15" i="1"/>
  <c r="O15" i="1"/>
  <c r="N15" i="1"/>
  <c r="O14" i="1"/>
  <c r="N14" i="1"/>
  <c r="K15" i="1"/>
  <c r="K14" i="1"/>
  <c r="C14" i="1"/>
  <c r="F14" i="1" s="1"/>
  <c r="B16" i="1"/>
  <c r="B17" i="1" s="1"/>
  <c r="B18" i="1" s="1"/>
  <c r="B19" i="1" s="1"/>
  <c r="B20" i="1" s="1"/>
  <c r="B21" i="1" s="1"/>
  <c r="B15" i="1"/>
  <c r="D7" i="1"/>
  <c r="F7" i="1" s="1"/>
  <c r="D6" i="1"/>
  <c r="D5" i="1"/>
  <c r="D4" i="1"/>
  <c r="F5" i="1"/>
  <c r="F4" i="1"/>
  <c r="F6" i="1"/>
  <c r="F2" i="1"/>
  <c r="E6" i="1" s="1"/>
  <c r="F15" i="1" l="1"/>
  <c r="F16" i="1" s="1"/>
  <c r="F17" i="1" s="1"/>
  <c r="F18" i="1" s="1"/>
  <c r="F19" i="1" s="1"/>
  <c r="G14" i="1"/>
  <c r="C15" i="1"/>
  <c r="C16" i="1" s="1"/>
  <c r="C17" i="1" s="1"/>
  <c r="C18" i="1" s="1"/>
  <c r="C19" i="1" s="1"/>
  <c r="C20" i="1" s="1"/>
  <c r="C21" i="1" s="1"/>
  <c r="E7" i="1"/>
  <c r="E4" i="1"/>
  <c r="E5" i="1"/>
  <c r="J14" i="1" l="1"/>
  <c r="J15" i="1" s="1"/>
  <c r="J16" i="1" s="1"/>
  <c r="G15" i="1"/>
  <c r="G16" i="1" s="1"/>
</calcChain>
</file>

<file path=xl/sharedStrings.xml><?xml version="1.0" encoding="utf-8"?>
<sst xmlns="http://schemas.openxmlformats.org/spreadsheetml/2006/main" count="70" uniqueCount="52">
  <si>
    <t>Pkt #</t>
  </si>
  <si>
    <t>Host A</t>
  </si>
  <si>
    <t>Link 1</t>
  </si>
  <si>
    <t>Link 2</t>
  </si>
  <si>
    <t>Link 3</t>
  </si>
  <si>
    <t>All times are in milli-seconds (ms)</t>
  </si>
  <si>
    <t>R1</t>
  </si>
  <si>
    <t>R2</t>
  </si>
  <si>
    <t>R3</t>
  </si>
  <si>
    <t>Note</t>
  </si>
  <si>
    <t>Transmission Start time: Time at which first bit of the packet is transmitted</t>
  </si>
  <si>
    <t>Packet Receive time: Time at which last bit of the packet is received</t>
  </si>
  <si>
    <t>Pkt Recv time</t>
  </si>
  <si>
    <t>Trans. start time</t>
  </si>
  <si>
    <t>Host B</t>
  </si>
  <si>
    <t>Queuing time: time it waits in the queue before its transmission starts</t>
  </si>
  <si>
    <t>Link 4</t>
  </si>
  <si>
    <t>Signal Speed (KM/s)</t>
  </si>
  <si>
    <t>Prop. Delay</t>
  </si>
  <si>
    <t>Trans. Delay</t>
  </si>
  <si>
    <t>Length (KM)</t>
  </si>
  <si>
    <t>Bandwidth (bps)</t>
  </si>
  <si>
    <t>NA</t>
  </si>
  <si>
    <t>Queue (wait) delay</t>
  </si>
  <si>
    <t>Router R2 (Q Buf size=10)</t>
  </si>
  <si>
    <t>Q buf size</t>
  </si>
  <si>
    <t>Dropped</t>
  </si>
  <si>
    <t>P2</t>
  </si>
  <si>
    <t>P3</t>
  </si>
  <si>
    <t>P1</t>
  </si>
  <si>
    <t>P4</t>
  </si>
  <si>
    <t>P5</t>
  </si>
  <si>
    <t>Pkts in Queue</t>
  </si>
  <si>
    <t>None</t>
  </si>
  <si>
    <t>P6</t>
  </si>
  <si>
    <t>P7</t>
  </si>
  <si>
    <t>P8</t>
  </si>
  <si>
    <t>P9</t>
  </si>
  <si>
    <t>P10</t>
  </si>
  <si>
    <t>P11</t>
  </si>
  <si>
    <t>UID Example</t>
  </si>
  <si>
    <t>P3,P4</t>
  </si>
  <si>
    <t>Router R1 (Q Buf size=3)</t>
  </si>
  <si>
    <t>Router R3 (Q Buf size=2)</t>
  </si>
  <si>
    <t>P4,P5</t>
  </si>
  <si>
    <t>P4,P5,P6</t>
  </si>
  <si>
    <t>P5,P6,P7</t>
  </si>
  <si>
    <t>Pkt size (bits)</t>
  </si>
  <si>
    <t>a=3</t>
  </si>
  <si>
    <t>b=2</t>
  </si>
  <si>
    <t>c=10</t>
  </si>
  <si>
    <t>XY00320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</si>
</sst>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5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9" xfId="0" applyBorder="1"/>
    <xf numFmtId="0" fontId="1" fillId="0" borderId="9" xfId="0" applyFont="1" applyBorder="1"/>
    <xf numFmtId="0" fontId="0" fillId="0" borderId="4" xfId="0" applyBorder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0" fontId="4" fillId="0" borderId="9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182A-B3DB-514E-B75E-FA8C50E02CAF}">
  <dimension ref="A1:R29"/>
  <sheetViews>
    <sheetView tabSelected="1" topLeftCell="A6" zoomScale="150" zoomScaleNormal="150" workbookViewId="0">
      <selection activeCell="H17" sqref="H17"/>
    </sheetView>
  </sheetViews>
  <sheetFormatPr baseColWidth="10" defaultRowHeight="16" x14ac:dyDescent="0.2"/>
  <cols>
    <col min="1" max="1" width="5.1640625" bestFit="1" customWidth="1"/>
    <col min="2" max="2" width="8.5" customWidth="1"/>
    <col min="3" max="3" width="7.83203125" customWidth="1"/>
    <col min="4" max="4" width="9" customWidth="1"/>
    <col min="5" max="5" width="7.1640625" bestFit="1" customWidth="1"/>
    <col min="6" max="6" width="7" customWidth="1"/>
    <col min="7" max="7" width="8.33203125" bestFit="1" customWidth="1"/>
    <col min="8" max="8" width="11.33203125" customWidth="1"/>
    <col min="9" max="9" width="7.1640625" customWidth="1"/>
    <col min="10" max="10" width="8.33203125" bestFit="1" customWidth="1"/>
    <col min="11" max="11" width="5.1640625" customWidth="1"/>
    <col min="12" max="12" width="9.5" customWidth="1"/>
    <col min="13" max="13" width="7" customWidth="1"/>
    <col min="14" max="14" width="6.33203125" customWidth="1"/>
    <col min="15" max="15" width="6.1640625" bestFit="1" customWidth="1"/>
    <col min="16" max="16" width="4.1640625" customWidth="1"/>
    <col min="18" max="18" width="16.83203125" bestFit="1" customWidth="1"/>
  </cols>
  <sheetData>
    <row r="1" spans="1:16" x14ac:dyDescent="0.2">
      <c r="A1" t="s">
        <v>40</v>
      </c>
      <c r="C1" s="3" t="s">
        <v>51</v>
      </c>
      <c r="D1" t="s">
        <v>5</v>
      </c>
    </row>
    <row r="2" spans="1:16" s="18" customFormat="1" ht="15" thickBot="1" x14ac:dyDescent="0.25">
      <c r="B2" s="18" t="s">
        <v>47</v>
      </c>
      <c r="C2" s="18">
        <v>10000</v>
      </c>
      <c r="D2" s="18" t="s">
        <v>17</v>
      </c>
      <c r="F2" s="18">
        <f>2*10^5</f>
        <v>200000</v>
      </c>
    </row>
    <row r="3" spans="1:16" s="19" customFormat="1" ht="31" thickBot="1" x14ac:dyDescent="0.25">
      <c r="B3" s="20"/>
      <c r="C3" s="20" t="s">
        <v>20</v>
      </c>
      <c r="D3" s="21" t="s">
        <v>21</v>
      </c>
      <c r="E3" s="20" t="s">
        <v>18</v>
      </c>
      <c r="F3" s="20" t="s">
        <v>19</v>
      </c>
    </row>
    <row r="4" spans="1:16" ht="17" thickBot="1" x14ac:dyDescent="0.25">
      <c r="B4" s="10" t="s">
        <v>2</v>
      </c>
      <c r="C4" s="10">
        <v>2000</v>
      </c>
      <c r="D4" s="10">
        <f>4*10^5</f>
        <v>400000</v>
      </c>
      <c r="E4" s="10">
        <f>C4/$F$2*1000</f>
        <v>10</v>
      </c>
      <c r="F4" s="10">
        <f>$C$2/D4*1000</f>
        <v>25</v>
      </c>
    </row>
    <row r="5" spans="1:16" ht="17" thickBot="1" x14ac:dyDescent="0.25">
      <c r="B5" s="10" t="s">
        <v>3</v>
      </c>
      <c r="C5" s="10">
        <v>8000</v>
      </c>
      <c r="D5" s="10">
        <f>2*10^5</f>
        <v>200000</v>
      </c>
      <c r="E5" s="10">
        <f>C5/$F$2*1000</f>
        <v>40</v>
      </c>
      <c r="F5" s="10">
        <f>$C$2/D5*1000</f>
        <v>50</v>
      </c>
    </row>
    <row r="6" spans="1:16" ht="17" thickBot="1" x14ac:dyDescent="0.25">
      <c r="B6" s="10" t="s">
        <v>4</v>
      </c>
      <c r="C6" s="10">
        <v>4000</v>
      </c>
      <c r="D6" s="10">
        <f>1*10^5</f>
        <v>100000</v>
      </c>
      <c r="E6" s="10">
        <f>C6/$F$2*1000</f>
        <v>20</v>
      </c>
      <c r="F6" s="10">
        <f>$C$2/D6*1000</f>
        <v>100</v>
      </c>
    </row>
    <row r="7" spans="1:16" ht="17" thickBot="1" x14ac:dyDescent="0.25">
      <c r="B7" s="10" t="s">
        <v>16</v>
      </c>
      <c r="C7" s="10">
        <v>6000</v>
      </c>
      <c r="D7" s="10">
        <f>0.8*10^5</f>
        <v>80000</v>
      </c>
      <c r="E7" s="10">
        <f>C7/$F$2*1000</f>
        <v>30</v>
      </c>
      <c r="F7" s="10">
        <f>$C$2/D7*1000</f>
        <v>125</v>
      </c>
    </row>
    <row r="8" spans="1:16" ht="17" thickBot="1" x14ac:dyDescent="0.25"/>
    <row r="9" spans="1:16" ht="17" thickBot="1" x14ac:dyDescent="0.25">
      <c r="B9" s="10"/>
      <c r="C9" s="10" t="s">
        <v>6</v>
      </c>
      <c r="D9" s="10" t="s">
        <v>7</v>
      </c>
      <c r="E9" s="10" t="s">
        <v>8</v>
      </c>
    </row>
    <row r="10" spans="1:16" ht="17" thickBot="1" x14ac:dyDescent="0.25">
      <c r="B10" s="10" t="s">
        <v>25</v>
      </c>
      <c r="C10" s="11" t="s">
        <v>48</v>
      </c>
      <c r="D10" s="11" t="s">
        <v>49</v>
      </c>
      <c r="E10" s="11" t="s">
        <v>50</v>
      </c>
    </row>
    <row r="11" spans="1:16" ht="17" thickBot="1" x14ac:dyDescent="0.25"/>
    <row r="12" spans="1:16" s="18" customFormat="1" thickBot="1" x14ac:dyDescent="0.25">
      <c r="A12" s="22"/>
      <c r="B12" s="23" t="s">
        <v>1</v>
      </c>
      <c r="C12" s="32" t="s">
        <v>42</v>
      </c>
      <c r="D12" s="32"/>
      <c r="E12" s="32"/>
      <c r="F12" s="32"/>
      <c r="G12" s="32" t="s">
        <v>24</v>
      </c>
      <c r="H12" s="32"/>
      <c r="I12" s="32"/>
      <c r="J12" s="32"/>
      <c r="K12" s="32" t="s">
        <v>43</v>
      </c>
      <c r="L12" s="32"/>
      <c r="M12" s="32"/>
      <c r="N12" s="32"/>
      <c r="O12" s="24" t="s">
        <v>14</v>
      </c>
      <c r="P12" s="25"/>
    </row>
    <row r="13" spans="1:16" s="19" customFormat="1" ht="55" customHeight="1" x14ac:dyDescent="0.2">
      <c r="A13" s="23" t="s">
        <v>0</v>
      </c>
      <c r="B13" s="26" t="s">
        <v>13</v>
      </c>
      <c r="C13" s="27" t="s">
        <v>12</v>
      </c>
      <c r="D13" s="23" t="s">
        <v>32</v>
      </c>
      <c r="E13" s="23" t="s">
        <v>23</v>
      </c>
      <c r="F13" s="26" t="s">
        <v>13</v>
      </c>
      <c r="G13" s="27" t="s">
        <v>12</v>
      </c>
      <c r="H13" s="23" t="s">
        <v>32</v>
      </c>
      <c r="I13" s="23" t="s">
        <v>23</v>
      </c>
      <c r="J13" s="26" t="s">
        <v>13</v>
      </c>
      <c r="K13" s="27" t="s">
        <v>12</v>
      </c>
      <c r="L13" s="23" t="s">
        <v>32</v>
      </c>
      <c r="M13" s="23" t="s">
        <v>23</v>
      </c>
      <c r="N13" s="26" t="s">
        <v>13</v>
      </c>
      <c r="O13" s="28" t="s">
        <v>12</v>
      </c>
    </row>
    <row r="14" spans="1:16" x14ac:dyDescent="0.2">
      <c r="A14" s="2" t="s">
        <v>29</v>
      </c>
      <c r="B14" s="4">
        <v>0</v>
      </c>
      <c r="C14" s="5">
        <f>B14+E4+F4</f>
        <v>35</v>
      </c>
      <c r="D14" s="8" t="s">
        <v>33</v>
      </c>
      <c r="E14" s="2">
        <v>0</v>
      </c>
      <c r="F14" s="4">
        <f>C14</f>
        <v>35</v>
      </c>
      <c r="G14" s="5">
        <f>F14+E5+F5</f>
        <v>125</v>
      </c>
      <c r="H14" s="8" t="s">
        <v>33</v>
      </c>
      <c r="I14" s="2">
        <v>0</v>
      </c>
      <c r="J14" s="4">
        <f>G14</f>
        <v>125</v>
      </c>
      <c r="K14" s="5">
        <f>J14+E6+F6</f>
        <v>245</v>
      </c>
      <c r="L14" s="8" t="s">
        <v>33</v>
      </c>
      <c r="M14" s="2">
        <v>0</v>
      </c>
      <c r="N14" s="4">
        <f>K14</f>
        <v>245</v>
      </c>
      <c r="O14" s="5">
        <f>N14+E7+F7</f>
        <v>400</v>
      </c>
    </row>
    <row r="15" spans="1:16" x14ac:dyDescent="0.2">
      <c r="A15" s="2" t="s">
        <v>27</v>
      </c>
      <c r="B15" s="4">
        <f>B14+$F$4</f>
        <v>25</v>
      </c>
      <c r="C15" s="5">
        <f>C14+$F$4</f>
        <v>60</v>
      </c>
      <c r="D15" s="8" t="s">
        <v>27</v>
      </c>
      <c r="E15" s="2">
        <f>F15-C15</f>
        <v>25</v>
      </c>
      <c r="F15" s="4">
        <f>F14+$F$5</f>
        <v>85</v>
      </c>
      <c r="G15" s="5">
        <f>G14+$F$5</f>
        <v>175</v>
      </c>
      <c r="H15" s="8" t="s">
        <v>27</v>
      </c>
      <c r="I15" s="2">
        <f>J15-G15</f>
        <v>50</v>
      </c>
      <c r="J15" s="4">
        <f>J14+$F$6</f>
        <v>225</v>
      </c>
      <c r="K15" s="5">
        <f>K14+$F$6</f>
        <v>345</v>
      </c>
      <c r="L15" s="8" t="s">
        <v>27</v>
      </c>
      <c r="M15" s="2">
        <f>N15-K15</f>
        <v>25</v>
      </c>
      <c r="N15" s="4">
        <f>N14+$F$7</f>
        <v>370</v>
      </c>
      <c r="O15" s="5">
        <f>O14+$F$7</f>
        <v>525</v>
      </c>
    </row>
    <row r="16" spans="1:16" x14ac:dyDescent="0.2">
      <c r="A16" s="2" t="s">
        <v>28</v>
      </c>
      <c r="B16" s="4">
        <f t="shared" ref="B16:B24" si="0">B15+$F$4</f>
        <v>50</v>
      </c>
      <c r="C16" s="5">
        <f t="shared" ref="C16:C24" si="1">C15+$F$4</f>
        <v>85</v>
      </c>
      <c r="D16" s="9" t="s">
        <v>28</v>
      </c>
      <c r="E16" s="2">
        <f t="shared" ref="E16:E20" si="2">F16-C16</f>
        <v>50</v>
      </c>
      <c r="F16" s="4">
        <f t="shared" ref="F16:F20" si="3">F15+$F$5</f>
        <v>135</v>
      </c>
      <c r="G16" s="5">
        <f t="shared" ref="G16" si="4">G15+$F$5</f>
        <v>225</v>
      </c>
      <c r="H16" s="8" t="s">
        <v>28</v>
      </c>
      <c r="I16" s="2">
        <f t="shared" ref="I16" si="5">J16-G16</f>
        <v>100</v>
      </c>
      <c r="J16" s="4">
        <f t="shared" ref="J16" si="6">J15+$F$6</f>
        <v>325</v>
      </c>
      <c r="K16" s="5"/>
      <c r="L16" s="8"/>
      <c r="M16" s="2"/>
      <c r="N16" s="4"/>
      <c r="O16" s="5"/>
    </row>
    <row r="17" spans="1:18" x14ac:dyDescent="0.2">
      <c r="A17" s="2" t="s">
        <v>30</v>
      </c>
      <c r="B17" s="4">
        <f t="shared" si="0"/>
        <v>75</v>
      </c>
      <c r="C17" s="5">
        <f t="shared" si="1"/>
        <v>110</v>
      </c>
      <c r="D17" s="8" t="s">
        <v>41</v>
      </c>
      <c r="E17" s="2">
        <f t="shared" si="2"/>
        <v>75</v>
      </c>
      <c r="F17" s="4">
        <f t="shared" si="3"/>
        <v>185</v>
      </c>
      <c r="G17" s="5"/>
      <c r="H17" s="8"/>
      <c r="I17" s="2"/>
      <c r="J17" s="4"/>
      <c r="K17" s="5"/>
      <c r="L17" s="8"/>
      <c r="M17" s="2"/>
      <c r="N17" s="4"/>
      <c r="O17" s="5"/>
    </row>
    <row r="18" spans="1:18" x14ac:dyDescent="0.2">
      <c r="A18" s="2" t="s">
        <v>31</v>
      </c>
      <c r="B18" s="4">
        <f t="shared" si="0"/>
        <v>100</v>
      </c>
      <c r="C18" s="5">
        <f t="shared" si="1"/>
        <v>135</v>
      </c>
      <c r="D18" s="1" t="s">
        <v>44</v>
      </c>
      <c r="E18" s="2">
        <f t="shared" si="2"/>
        <v>100</v>
      </c>
      <c r="F18" s="4">
        <f t="shared" si="3"/>
        <v>235</v>
      </c>
      <c r="G18" s="5"/>
      <c r="H18" s="8"/>
      <c r="I18" s="2"/>
      <c r="J18" s="4"/>
      <c r="K18" s="5"/>
      <c r="L18" s="8"/>
      <c r="M18" s="2"/>
      <c r="N18" s="4"/>
      <c r="O18" s="5"/>
    </row>
    <row r="19" spans="1:18" x14ac:dyDescent="0.2">
      <c r="A19" s="2" t="s">
        <v>34</v>
      </c>
      <c r="B19" s="4">
        <f t="shared" si="0"/>
        <v>125</v>
      </c>
      <c r="C19" s="5">
        <f t="shared" si="1"/>
        <v>160</v>
      </c>
      <c r="D19" s="12" t="s">
        <v>45</v>
      </c>
      <c r="E19" s="2">
        <f t="shared" si="2"/>
        <v>125</v>
      </c>
      <c r="F19" s="4">
        <f t="shared" si="3"/>
        <v>285</v>
      </c>
      <c r="G19" s="5"/>
      <c r="H19" s="8"/>
      <c r="I19" s="14"/>
      <c r="J19" s="15"/>
      <c r="K19" s="16"/>
      <c r="L19" s="8"/>
      <c r="M19" s="14"/>
      <c r="N19" s="15"/>
      <c r="O19" s="16"/>
    </row>
    <row r="20" spans="1:18" x14ac:dyDescent="0.2">
      <c r="A20" s="2" t="s">
        <v>35</v>
      </c>
      <c r="B20" s="4">
        <f t="shared" si="0"/>
        <v>150</v>
      </c>
      <c r="C20" s="5">
        <f t="shared" si="1"/>
        <v>185</v>
      </c>
      <c r="D20" s="1" t="s">
        <v>46</v>
      </c>
      <c r="E20" s="2">
        <f t="shared" si="2"/>
        <v>150</v>
      </c>
      <c r="F20" s="4">
        <f t="shared" si="3"/>
        <v>335</v>
      </c>
      <c r="G20" s="5"/>
      <c r="H20" s="8"/>
      <c r="I20" s="2"/>
      <c r="J20" s="4"/>
      <c r="K20" s="5"/>
      <c r="L20" s="17"/>
      <c r="M20" s="2"/>
      <c r="N20" s="4"/>
      <c r="O20" s="5"/>
    </row>
    <row r="21" spans="1:18" x14ac:dyDescent="0.2">
      <c r="A21" s="2" t="s">
        <v>36</v>
      </c>
      <c r="B21" s="4">
        <f t="shared" si="0"/>
        <v>175</v>
      </c>
      <c r="C21" s="5">
        <f t="shared" si="1"/>
        <v>210</v>
      </c>
      <c r="D21" s="1" t="s">
        <v>46</v>
      </c>
      <c r="E21" s="14" t="s">
        <v>26</v>
      </c>
      <c r="F21" s="15" t="s">
        <v>22</v>
      </c>
      <c r="G21" s="16"/>
      <c r="H21" s="8"/>
      <c r="I21" s="29"/>
      <c r="J21" s="30"/>
      <c r="K21" s="31"/>
      <c r="L21" s="17"/>
      <c r="M21" s="29"/>
      <c r="N21" s="30"/>
      <c r="O21" s="31"/>
    </row>
    <row r="22" spans="1:18" x14ac:dyDescent="0.2">
      <c r="A22" s="2" t="s">
        <v>37</v>
      </c>
      <c r="B22" s="4">
        <v>200</v>
      </c>
      <c r="C22" s="5"/>
      <c r="D22" s="1"/>
      <c r="E22" s="2"/>
      <c r="F22" s="4"/>
      <c r="G22" s="5"/>
      <c r="H22" s="8"/>
      <c r="I22" s="14"/>
      <c r="J22" s="15"/>
      <c r="K22" s="16"/>
      <c r="L22" s="8"/>
      <c r="M22" s="14"/>
      <c r="N22" s="15"/>
      <c r="O22" s="16"/>
    </row>
    <row r="23" spans="1:18" x14ac:dyDescent="0.2">
      <c r="A23" s="2" t="s">
        <v>38</v>
      </c>
      <c r="B23" s="4">
        <v>225</v>
      </c>
      <c r="C23" s="5"/>
      <c r="D23" s="1"/>
      <c r="E23" s="14"/>
      <c r="F23" s="15"/>
      <c r="G23" s="16"/>
      <c r="H23" s="8"/>
      <c r="I23" s="29"/>
      <c r="J23" s="30"/>
      <c r="K23" s="31"/>
      <c r="L23" s="8"/>
      <c r="M23" s="29"/>
      <c r="N23" s="30"/>
      <c r="O23" s="31"/>
    </row>
    <row r="24" spans="1:18" x14ac:dyDescent="0.2">
      <c r="A24" s="2" t="s">
        <v>39</v>
      </c>
      <c r="B24" s="4">
        <v>250</v>
      </c>
      <c r="C24" s="5"/>
      <c r="D24" s="13"/>
      <c r="E24" s="2"/>
      <c r="F24" s="4"/>
      <c r="G24" s="5"/>
      <c r="H24" s="8"/>
      <c r="I24" s="2"/>
      <c r="J24" s="4"/>
      <c r="K24" s="5"/>
      <c r="L24" s="8"/>
      <c r="M24" s="2"/>
      <c r="N24" s="4"/>
      <c r="O24" s="5"/>
    </row>
    <row r="25" spans="1:18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8" x14ac:dyDescent="0.2">
      <c r="A26" t="s">
        <v>9</v>
      </c>
      <c r="R26" s="7"/>
    </row>
    <row r="27" spans="1:18" x14ac:dyDescent="0.2">
      <c r="B27" t="s">
        <v>10</v>
      </c>
    </row>
    <row r="28" spans="1:18" x14ac:dyDescent="0.2">
      <c r="B28" t="s">
        <v>11</v>
      </c>
    </row>
    <row r="29" spans="1:18" x14ac:dyDescent="0.2">
      <c r="B29" t="s">
        <v>15</v>
      </c>
    </row>
  </sheetData>
  <mergeCells count="3">
    <mergeCell ref="C12:F12"/>
    <mergeCell ref="G12:J12"/>
    <mergeCell ref="K12:N12"/>
  </mergeCells>
  <pageMargins left="0.70866141732283472" right="0.70866141732283472" top="0.74803149606299213" bottom="0.74803149606299213" header="0.31496062992125984" footer="0.31496062992125984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Delays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Computing end to end delay</dc:title>
  <dc:subject>CMSC481</dc:subject>
  <dc:creator>Ram Rustagi</dc:creator>
  <cp:keywords/>
  <dc:description/>
  <cp:lastModifiedBy>Ram Rustagi</cp:lastModifiedBy>
  <cp:lastPrinted>2025-09-13T18:41:03Z</cp:lastPrinted>
  <dcterms:created xsi:type="dcterms:W3CDTF">2024-02-02T17:05:49Z</dcterms:created>
  <dcterms:modified xsi:type="dcterms:W3CDTF">2026-02-08T17:57:57Z</dcterms:modified>
  <cp:category/>
</cp:coreProperties>
</file>